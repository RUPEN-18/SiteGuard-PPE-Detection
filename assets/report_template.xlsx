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d42a07650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a8e92ebf18416b"/>
    <x:sheet xmlns:r="http://schemas.openxmlformats.org/officeDocument/2006/relationships" name="Violations" sheetId="2" r:id="R2f97a8516b824d11"/>
    <x:sheet xmlns:r="http://schemas.openxmlformats.org/officeDocument/2006/relationships" name="Sessions" sheetId="3" r:id="R296e47f46f3c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dd-mmm-yyyy hh:mm:ss"/>
    <x:numFmt numFmtId="203" formatCode="0.00"/>
    <x:numFmt numFmtId="204" formatCode="dd-mmm-yyyy"/>
  </x:numFmts>
  <x:fonts count="7">
    <x:font>
      <x:sz val="11"/>
      <x:name val="Carlito"/>
    </x:font>
    <x:font>
      <x:sz val="10"/>
      <x:color rgb="FF172B49"/>
      <x:name val="Arial"/>
    </x:font>
    <x:font>
      <x:b/>
      <x:sz val="16"/>
      <x:color rgb="FF075184"/>
      <x:name val="Arial"/>
    </x:font>
    <x:font>
      <x:sz val="14"/>
      <x:color rgb="FF172B49"/>
      <x:name val="Arial"/>
    </x:font>
    <x:font>
      <x:sz val="10"/>
      <x:color rgb="FF77859A"/>
      <x:name val="Arial"/>
    </x:font>
    <x:font>
      <x:b/>
      <x:sz val="10"/>
      <x:color rgb="FFFFFFFF"/>
      <x:name val="Arial"/>
    </x:font>
    <x:font>
      <x:b/>
      <x:sz val="10"/>
      <x:color rgb="FF07518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184"/>
      </x:patternFill>
    </x:fill>
    <x:fill>
      <x:patternFill patternType="solid">
        <x:fgColor rgb="FFE9F4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73037776f4763" /><Relationship Type="http://schemas.openxmlformats.org/officeDocument/2006/relationships/theme" Target="/xl/theme/theme1.xml" Id="Rb33c984528684805" /><Relationship Type="http://schemas.openxmlformats.org/officeDocument/2006/relationships/sharedStrings" Target="/xl/sharedStrings.xml" Id="R4a6497dd38644a88" /><Relationship Type="http://schemas.openxmlformats.org/officeDocument/2006/relationships/worksheet" Target="/xl/worksheets/sheet1.xml" Id="R3ba8e92ebf18416b" /><Relationship Type="http://schemas.openxmlformats.org/officeDocument/2006/relationships/worksheet" Target="/xl/worksheets/sheet2.xml" Id="R2f97a8516b824d11" /><Relationship Type="http://schemas.openxmlformats.org/officeDocument/2006/relationships/worksheet" Target="/xl/worksheets/sheet3.xml" Id="R296e47f46f3c48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a8b6174e5c64dbe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2028825" cy="952500"/>
    <xdr:pic>
      <xdr:nvPicPr>
        <xdr:cNvPr id="1" name="951a9d6c-50fb-4f77-89ba-e623a78b8e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8b6174e5c64d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904c63f83641c7" /></Relationships>
</file>

<file path=xl/worksheets/sheet1.xml><?xml version="1.0" encoding="utf-8"?>
<x:worksheet xmlns:x="http://schemas.openxmlformats.org/spreadsheetml/2006/main">
  <x:sheetPr>
    <x:tabColor rgb="FF075184"/>
  </x:sheetPr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4" hidden="0" customWidth="1"/>
    <x:col min="4" max="4" width="10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5" customHeight="1">
      <x:c r="A2" s="3" t="str">
        <x:v>L&amp;T SiteGuard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5" customHeight="1">
      <x:c r="A3" s="4" t="str">
        <x:v>PPE safety report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5" customHeight="1">
      <x:c r="A4" s="2" t="str">
        <x:v>Data source</x:v>
      </x:c>
      <x:c r="B4" s="2" t="str">
        <x:v>Awaiting export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5" customHeight="1">
      <x:c r="A5" s="2" t="str">
        <x:v>Analysis date filter</x:v>
      </x:c>
      <x:c r="B5" s="2" t="str">
        <x:v>All dates</x:v>
      </x:c>
      <x:c r="C5" s="2"/>
      <x:c r="D5" s="5" t="str">
        <x:v>Generated: populated when exported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5" customHeight="1">
      <x:c r="A6" s="2" t="str">
        <x:v>Camera filter</x:v>
      </x:c>
      <x:c r="B6" s="2" t="str">
        <x:v>All cameras</x:v>
      </x:c>
      <x:c r="C6" s="2"/>
      <x:c r="D6" s="5" t="str">
        <x:v>Source: SiteGuard saved events and daily session snapshots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8" customHeight="1">
      <x:c r="A8" s="8" t="str">
        <x:v>Metric</x:v>
      </x:c>
      <x:c r="B8" s="8" t="str">
        <x:v>Result</x:v>
      </x:c>
      <x:c r="C8" s="2"/>
      <x:c r="D8" s="15" t="str">
        <x:v>Counting definitions</x:v>
      </x:c>
    </x:row>
    <x:row r="9" ht="25" customHeight="1">
      <x:c r="A9" s="2" t="str">
        <x:v>Saved session records</x:v>
      </x:c>
      <x:c r="B9" s="9" t="n">
        <x:f>COUNTA(Sessions!C7:C7)</x:f>
        <x:v>0</x:v>
      </x:c>
      <x:c r="C9" s="2"/>
      <x:c r="D9" s="5" t="str">
        <x:v>One Sessions row is the latest saved snapshot for one session and analysis day.</x:v>
      </x:c>
    </x:row>
    <x:row r="10" ht="25" customHeight="1">
      <x:c r="A10" s="2" t="str">
        <x:v>Session-day track IDs</x:v>
      </x:c>
      <x:c r="B10" s="9" t="n">
        <x:f>SUM(Sessions!F7:F7)</x:f>
        <x:v>0</x:v>
      </x:c>
      <x:c r="C10" s="2"/>
      <x:c r="D10" s="5" t="str">
        <x:v>Session-day track IDs are observations, not verified unique people across days or cameras.</x:v>
      </x:c>
    </x:row>
    <x:row r="11" ht="25" customHeight="1">
      <x:c r="A11" s="2" t="str">
        <x:v>Compliant track IDs</x:v>
      </x:c>
      <x:c r="B11" s="9" t="n">
        <x:f>SUM(Sessions!G7:G7)</x:f>
        <x:v>0</x:v>
      </x:c>
      <x:c r="C11" s="2"/>
      <x:c r="D11" s="5" t="str">
        <x:v>Compliance = compliant track IDs / total track IDs. Unknown PPE is not compliant.</x:v>
      </x:c>
    </x:row>
    <x:row r="12" ht="25" customHeight="1">
      <x:c r="A12" s="2" t="str">
        <x:v>Track IDs with violations</x:v>
      </x:c>
      <x:c r="B12" s="9" t="n">
        <x:f>SUM(Sessions!H7:H7)</x:f>
        <x:v>0</x:v>
      </x:c>
      <x:c r="C12" s="2"/>
      <x:c r="D12" s="5" t="str">
        <x:v>A violation episode is recorded when a missing-PPE state is confirmed.</x:v>
      </x:c>
    </x:row>
    <x:row r="13" ht="25" customHeight="1">
      <x:c r="A13" s="2" t="str">
        <x:v>Unknown track IDs</x:v>
      </x:c>
      <x:c r="B13" s="9" t="n">
        <x:f>SUM(Sessions!I7:I7)</x:f>
        <x:v>0</x:v>
      </x:c>
      <x:c r="C13" s="2"/>
      <x:c r="D13" s="5" t="str">
        <x:v>Helmet and jacket episode counts can overlap when both items are missing.</x:v>
      </x:c>
    </x:row>
    <x:row r="14" ht="25" customHeight="1">
      <x:c r="A14" s="13" t="str">
        <x:v>PPE compliance</x:v>
      </x:c>
      <x:c r="B14" s="14" t="str">
        <x:f>IF(B10=0,"n.a.",B11/B10)</x:f>
        <x:v>n.a.</x:v>
      </x:c>
      <x:c r="C14" s="2"/>
      <x:c r="D14" s="5" t="str">
        <x:v>Evidence paths refer to images on the computer that performed the analysis.</x:v>
      </x:c>
    </x:row>
    <x:row r="15" ht="25" customHeight="1">
      <x:c r="A15" s="2" t="str">
        <x:v>Violation episodes</x:v>
      </x:c>
      <x:c r="B15" s="9" t="n">
        <x:f>COUNTA(Violations!L7:L7)</x:f>
        <x:v>0</x:v>
      </x:c>
      <x:c r="C15" s="2"/>
      <x:c r="D15" s="5" t="str">
        <x:v>Times are local analysis times. The UTC offset is retained in the detail sheets.</x:v>
      </x:c>
    </x:row>
    <x:row r="16" ht="25" customHeight="1">
      <x:c r="A16" s="2" t="str">
        <x:v>Helmet-missing episodes</x:v>
      </x:c>
      <x:c r="B16" s="9" t="n">
        <x:f>COUNTIF(Violations!F7:F7,"Missing")</x:f>
        <x:v>0</x:v>
      </x:c>
      <x:c r="C16" s="2"/>
      <x:c r="D16" s="5" t="str">
        <x:v>Demo records are synthetic and are exported separately from real observations.</x:v>
      </x:c>
    </x:row>
    <x:row r="17" ht="25" customHeight="1">
      <x:c r="A17" s="2" t="str">
        <x:v>Jacket-missing episodes</x:v>
      </x:c>
      <x:c r="B17" s="9" t="n">
        <x:f>COUNTIF(Violations!G7:G7,"Missing")</x:f>
        <x:v>0</x:v>
      </x:c>
      <x:c r="C17" s="2"/>
      <x:c r="D17" s="5" t="str">
        <x:v>No saved session records means there is no population available for compliance calculation.</x:v>
      </x:c>
    </x:row>
    <x:row r="18" ht="25" customHeight="1">
      <x:c r="A18" s="2" t="str">
        <x:v>Both-missing episodes</x:v>
      </x:c>
      <x:c r="B18" s="9" t="n">
        <x:f>COUNTIFS(Violations!F7:F7,"Missing",Violations!G7:G7,"Missing")</x:f>
        <x:v>0</x:v>
      </x:c>
      <x:c r="C18" s="2"/>
      <x:c r="D18" s="2"/>
    </x:row>
    <x:row r="19" ht="25" customHeight="1">
      <x:c r="A19" s="2"/>
      <x:c r="B19" s="2"/>
      <x:c r="C19" s="2"/>
      <x:c r="D19" s="2"/>
    </x:row>
    <x:row r="20" ht="28" customHeight="1">
      <x:c r="A20" s="8" t="str">
        <x:v>Latest PPE observations</x:v>
      </x:c>
      <x:c r="B20" s="8" t="str">
        <x:v>Count</x:v>
      </x:c>
      <x:c r="C20" s="2"/>
      <x:c r="D20" s="5" t="str">
        <x:v>Session episode counters are cumulative. Violation rows follow the analysis-day filter.</x:v>
      </x:c>
    </x:row>
    <x:row r="21" ht="25" customHeight="1">
      <x:c r="A21" s="2" t="str">
        <x:v>Helmet present</x:v>
      </x:c>
      <x:c r="B21" s="9" t="n">
        <x:f>SUM(Sessions!J7:J7)</x:f>
        <x:v>0</x:v>
      </x:c>
      <x:c r="C21" s="2"/>
      <x:c r="D21" s="2"/>
    </x:row>
    <x:row r="22" ht="25" customHeight="1">
      <x:c r="A22" s="2" t="str">
        <x:v>Helmet missing</x:v>
      </x:c>
      <x:c r="B22" s="9" t="n">
        <x:f>SUM(Sessions!K7:K7)</x:f>
        <x:v>0</x:v>
      </x:c>
      <x:c r="C22" s="2"/>
      <x:c r="D22" s="2"/>
    </x:row>
    <x:row r="23" ht="25" customHeight="1">
      <x:c r="A23" s="2" t="str">
        <x:v>Jacket present</x:v>
      </x:c>
      <x:c r="B23" s="9" t="n">
        <x:f>SUM(Sessions!M7:M7)</x:f>
        <x:v>0</x:v>
      </x:c>
      <x:c r="C23" s="2"/>
      <x:c r="D23" s="2"/>
    </x:row>
    <x:row r="24" ht="25" customHeight="1">
      <x:c r="A24" s="2" t="str">
        <x:v>Jacket missing</x:v>
      </x:c>
      <x:c r="B24" s="9" t="n">
        <x:f>SUM(Sessions!N7:N7)</x:f>
        <x:v>0</x:v>
      </x:c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</x:sheetData>
  <x:pageMargins left="0.7" right="0.7" top="0.75" bottom="0.75" header="0.3" footer="0.3"/>
  <x:drawing xmlns:r="http://schemas.openxmlformats.org/officeDocument/2006/relationships" r:id="Rfd904c63f83641c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37" hidden="0" customWidth="1"/>
    <x:col min="9" max="9" width="15" hidden="0" customWidth="1"/>
    <x:col min="10" max="10" width="22" hidden="0" customWidth="1"/>
    <x:col min="11" max="11" width="78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Violation records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5" t="str">
        <x:v>Saved records matching the report date and camera filters.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0" customHeight="1">
      <x:c r="A6" s="8" t="str">
        <x:v>Analysis time</x:v>
      </x:c>
      <x:c r="B6" s="8" t="str">
        <x:v>UTC offset</x:v>
      </x:c>
      <x:c r="C6" s="8" t="str">
        <x:v>Camera</x:v>
      </x:c>
      <x:c r="D6" s="8" t="str">
        <x:v>Session ID</x:v>
      </x:c>
      <x:c r="E6" s="8" t="str">
        <x:v>Worker ID</x:v>
      </x:c>
      <x:c r="F6" s="8" t="str">
        <x:v>Helmet</x:v>
      </x:c>
      <x:c r="G6" s="8" t="str">
        <x:v>Jacket</x:v>
      </x:c>
      <x:c r="H6" s="8" t="str">
        <x:v>Violation type</x:v>
      </x:c>
      <x:c r="I6" s="8" t="str">
        <x:v>Confidence</x:v>
      </x:c>
      <x:c r="J6" s="8" t="str">
        <x:v>Media position (s)</x:v>
      </x:c>
      <x:c r="K6" s="8" t="str">
        <x:v>Evidence image path</x:v>
      </x:c>
      <x:c r="L6" s="8" t="str">
        <x:v>Record ID</x:v>
      </x:c>
      <x:c r="M6" s="2"/>
      <x:c r="N6" s="2"/>
      <x:c r="O6" s="2"/>
      <x:c r="P6" s="2"/>
      <x:c r="Q6" s="2"/>
      <x:c r="R6" s="2"/>
      <x:c r="S6" s="2"/>
      <x:c r="T6" s="2"/>
    </x:row>
    <x:row r="7" ht="52" customHeight="1">
      <x:c r="A7" s="17"/>
      <x:c r="B7" s="2"/>
      <x:c r="C7" s="2"/>
      <x:c r="D7" s="2"/>
      <x:c r="E7" s="2"/>
      <x:c r="F7" s="2"/>
      <x:c r="G7" s="2"/>
      <x:c r="H7" s="2"/>
      <x:c r="I7" s="10"/>
      <x:c r="J7" s="18"/>
      <x:c r="K7" s="16"/>
      <x:c r="L7" s="9"/>
      <x:c r="M7" s="2"/>
      <x:c r="N7" s="2"/>
      <x:c r="O7" s="2"/>
      <x:c r="P7" s="2"/>
      <x:c r="Q7" s="2"/>
      <x:c r="R7" s="2"/>
      <x:c r="S7" s="2"/>
      <x:c r="T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16" hidden="0" customWidth="1"/>
    <x:col min="17" max="17" width="15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Saved session statistics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5" t="str">
        <x:v>Saved records matching the report date and camera filters.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0" customHeight="1">
      <x:c r="A6" s="8" t="str">
        <x:v>Analysis day</x:v>
      </x:c>
      <x:c r="B6" s="8" t="str">
        <x:v>Camera</x:v>
      </x:c>
      <x:c r="C6" s="8" t="str">
        <x:v>Session ID</x:v>
      </x:c>
      <x:c r="D6" s="8" t="str">
        <x:v>Last updated</x:v>
      </x:c>
      <x:c r="E6" s="8" t="str">
        <x:v>UTC offset</x:v>
      </x:c>
      <x:c r="F6" s="8" t="str">
        <x:v>Track IDs</x:v>
      </x:c>
      <x:c r="G6" s="8" t="str">
        <x:v>Compliant</x:v>
      </x:c>
      <x:c r="H6" s="8" t="str">
        <x:v>Violations</x:v>
      </x:c>
      <x:c r="I6" s="8" t="str">
        <x:v>Unknown</x:v>
      </x:c>
      <x:c r="J6" s="8" t="str">
        <x:v>Helmet present</x:v>
      </x:c>
      <x:c r="K6" s="8" t="str">
        <x:v>Helmet missing</x:v>
      </x:c>
      <x:c r="L6" s="8" t="str">
        <x:v>Helmet unknown</x:v>
      </x:c>
      <x:c r="M6" s="8" t="str">
        <x:v>Jacket present</x:v>
      </x:c>
      <x:c r="N6" s="8" t="str">
        <x:v>Jacket missing</x:v>
      </x:c>
      <x:c r="O6" s="8" t="str">
        <x:v>Jacket unknown</x:v>
      </x:c>
      <x:c r="P6" s="8" t="str">
        <x:v>Compliance</x:v>
      </x:c>
      <x:c r="Q6" s="8" t="str">
        <x:v>Episodes</x:v>
      </x:c>
      <x:c r="R6" s="8" t="str">
        <x:v>Helmet episodes</x:v>
      </x:c>
      <x:c r="S6" s="8" t="str">
        <x:v>Jacket episodes</x:v>
      </x:c>
      <x:c r="T6" s="8" t="str">
        <x:v>Both missing</x:v>
      </x:c>
    </x:row>
    <x:row r="7" ht="25" customHeight="1">
      <x:c r="A7" s="19"/>
      <x:c r="B7" s="2"/>
      <x:c r="C7" s="2"/>
      <x:c r="D7" s="17"/>
      <x:c r="E7" s="2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10"/>
      <x:c r="Q7" s="9"/>
      <x:c r="R7" s="9"/>
      <x:c r="S7" s="9"/>
      <x:c r="T7" s="9"/>
    </x:row>
  </x:sheetData>
  <x:pageMargins left="0.7" right="0.7" top="0.75" bottom="0.75" header="0.3" footer="0.3"/>
</x:worksheet>
</file>